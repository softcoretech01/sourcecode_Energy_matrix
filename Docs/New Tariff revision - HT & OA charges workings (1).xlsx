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AC4630FE-95CB-4461-9634-F712C4A352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A charges (2)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6" l="1"/>
  <c r="D11" i="6"/>
  <c r="F10" i="6"/>
  <c r="D13" i="6"/>
  <c r="D10" i="6"/>
  <c r="M29" i="6"/>
  <c r="M31" i="6" s="1"/>
  <c r="P14" i="6"/>
  <c r="P16" i="6" s="1"/>
  <c r="M16" i="6"/>
  <c r="M14" i="6"/>
  <c r="F13" i="6"/>
  <c r="F35" i="6"/>
  <c r="D35" i="6"/>
  <c r="D33" i="6"/>
  <c r="D31" i="6"/>
  <c r="J34" i="6"/>
  <c r="J33" i="6"/>
  <c r="J32" i="6"/>
  <c r="J31" i="6"/>
  <c r="J30" i="6"/>
  <c r="J29" i="6"/>
  <c r="J28" i="6"/>
  <c r="J27" i="6"/>
  <c r="J26" i="6"/>
  <c r="J25" i="6"/>
  <c r="J24" i="6"/>
  <c r="D26" i="6"/>
  <c r="F34" i="6" s="1"/>
  <c r="J23" i="6"/>
  <c r="C23" i="6"/>
  <c r="E23" i="6" s="1"/>
  <c r="J22" i="6"/>
  <c r="C22" i="6"/>
  <c r="E22" i="6" s="1"/>
  <c r="J21" i="6"/>
  <c r="J20" i="6"/>
  <c r="J19" i="6"/>
  <c r="J18" i="6"/>
  <c r="J17" i="6"/>
  <c r="J15" i="6"/>
  <c r="C15" i="6"/>
  <c r="J14" i="6"/>
  <c r="J13" i="6"/>
  <c r="J12" i="6"/>
  <c r="J11" i="6"/>
  <c r="J10" i="6"/>
  <c r="J9" i="6"/>
  <c r="J8" i="6"/>
  <c r="F5" i="6"/>
  <c r="F9" i="6" s="1"/>
  <c r="F4" i="6"/>
  <c r="D30" i="6" s="1"/>
  <c r="D12" i="6" l="1"/>
  <c r="F12" i="6"/>
  <c r="D14" i="6"/>
  <c r="F30" i="6"/>
  <c r="C37" i="6"/>
  <c r="D32" i="6"/>
  <c r="D34" i="6"/>
  <c r="D36" i="6" s="1"/>
  <c r="F31" i="6"/>
  <c r="F33" i="6"/>
  <c r="F32" i="6"/>
  <c r="D18" i="6"/>
  <c r="F18" i="6"/>
  <c r="F40" i="6"/>
  <c r="D40" i="6"/>
  <c r="D37" i="6"/>
  <c r="F14" i="6"/>
  <c r="D15" i="6"/>
  <c r="F37" i="6"/>
  <c r="D17" i="6" l="1"/>
  <c r="D19" i="6" s="1"/>
  <c r="D39" i="6"/>
  <c r="F17" i="6"/>
  <c r="F19" i="6" s="1"/>
  <c r="F20" i="6" s="1"/>
  <c r="D41" i="6"/>
  <c r="F36" i="6"/>
  <c r="F39" i="6" l="1"/>
  <c r="F41" i="6" s="1"/>
</calcChain>
</file>

<file path=xl/sharedStrings.xml><?xml version="1.0" encoding="utf-8"?>
<sst xmlns="http://schemas.openxmlformats.org/spreadsheetml/2006/main" count="113" uniqueCount="60">
  <si>
    <t>Wheeling Charges</t>
  </si>
  <si>
    <t>Existing ( Rs.Per Unit )</t>
  </si>
  <si>
    <t>Sl. No.</t>
  </si>
  <si>
    <t>Descriptions</t>
  </si>
  <si>
    <t>Revised ( Rs.Per Unit )</t>
  </si>
  <si>
    <t>Solar Generaton / Year / MW - Lakh Units</t>
  </si>
  <si>
    <t>Average Energy Cost Rs. Per unit - HT Rate</t>
  </si>
  <si>
    <t>Scheduling Charges y</t>
  </si>
  <si>
    <t xml:space="preserve">System Operation Charges </t>
  </si>
  <si>
    <t xml:space="preserve">Transmission Charges </t>
  </si>
  <si>
    <t>15 Lakhs Units</t>
  </si>
  <si>
    <t>TANGEDCO Rate</t>
  </si>
  <si>
    <t>T &amp; D Loss in term of Paise / unit</t>
  </si>
  <si>
    <t>Total charges for Captive consumption</t>
  </si>
  <si>
    <t>Total charges per unit ( including losses)</t>
  </si>
  <si>
    <t>Self Generation Tax</t>
  </si>
  <si>
    <t>Rs.0.10 per unit</t>
  </si>
  <si>
    <t>Total Charges per unit ( including losses &amp; SG Tax)</t>
  </si>
  <si>
    <t>O &amp; M Charges ( TANGEDCO - OA )</t>
  </si>
  <si>
    <t>Wind Adjustment Charges for Captive Users</t>
  </si>
  <si>
    <t>Solar Adjustment Charges for Captive Users</t>
  </si>
  <si>
    <t>20 Lakhs Units</t>
  </si>
  <si>
    <t>Transmission &amp; Distribution Loss</t>
  </si>
  <si>
    <t>Inj Voltage</t>
  </si>
  <si>
    <t>Drw. Voltage</t>
  </si>
  <si>
    <t xml:space="preserve"> Loss %</t>
  </si>
  <si>
    <t>Injection Votage</t>
  </si>
  <si>
    <t>Drawl Voltage</t>
  </si>
  <si>
    <t>T &amp; D Loss %</t>
  </si>
  <si>
    <t>T &amp; loss</t>
  </si>
  <si>
    <t>KV</t>
  </si>
  <si>
    <t>Existing Tariff</t>
  </si>
  <si>
    <t>Revised Tariff</t>
  </si>
  <si>
    <t>Existing Aveg Rate</t>
  </si>
  <si>
    <t>Revised Aveg Rate</t>
  </si>
  <si>
    <t>Scheduling Charges</t>
  </si>
  <si>
    <t>50 % of Rs.172/MW/Day</t>
  </si>
  <si>
    <t>50 % of Rs.200/MW/Day</t>
  </si>
  <si>
    <t>50 % of Rs.75.04/MW/Day</t>
  </si>
  <si>
    <t>50 % of Rs.92.46/MW/Day</t>
  </si>
  <si>
    <t>Rs.301704  / MW / Year</t>
  </si>
  <si>
    <t>50 % of Rs.5365.63/MW/Day</t>
  </si>
  <si>
    <t>50 % of Rs.5580.260/MW/Day</t>
  </si>
  <si>
    <t>50 % of Rs.1 / Unit</t>
  </si>
  <si>
    <t>50 % of Rs.1.040 Paise / Unit</t>
  </si>
  <si>
    <t xml:space="preserve">DSM Charges </t>
  </si>
  <si>
    <t>Rs.0.03 paise per unit</t>
  </si>
  <si>
    <t xml:space="preserve">Wheeling Charges </t>
  </si>
  <si>
    <t>Cross Subsidy Third Party- Industrial</t>
  </si>
  <si>
    <t>Additional Surcharge</t>
  </si>
  <si>
    <t>HT - INDUSTRIAL BUYER - UNDER THIRD PARTY</t>
  </si>
  <si>
    <t>HT - COMMERCIAL BUYER - UNDER THIRD PARTY</t>
  </si>
  <si>
    <t xml:space="preserve">Power selling price </t>
  </si>
  <si>
    <t xml:space="preserve">Net cost </t>
  </si>
  <si>
    <t>Cross Subsidy Third Party- Commercial</t>
  </si>
  <si>
    <t>HT - INDUSTRIAL BUYER - UNDER GROUP CAPTIVE</t>
  </si>
  <si>
    <t>self Generation Tax</t>
  </si>
  <si>
    <t>50 % of Rs.209/MW/Day</t>
  </si>
  <si>
    <t>50 % of Rs.96.16/MW/Day</t>
  </si>
  <si>
    <t>50 % of Rs.5803.47/MW/Day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</si>
</sst>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color rgb="FFFF0000"/>
      <name val="Arial"/>
      <family val="2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1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5" fillId="0" borderId="0" xfId="1" applyFont="1"/>
    <xf numFmtId="0" fontId="6" fillId="0" borderId="0" xfId="1" applyFont="1" applyAlignment="1">
      <alignment horizontal="center" vertical="center"/>
    </xf>
    <xf numFmtId="0" fontId="6" fillId="0" borderId="0" xfId="1" applyFont="1" applyAlignment="1">
      <alignment vertical="center"/>
    </xf>
    <xf numFmtId="0" fontId="4" fillId="0" borderId="7" xfId="1" applyBorder="1" applyAlignment="1">
      <alignment horizontal="center"/>
    </xf>
    <xf numFmtId="0" fontId="6" fillId="0" borderId="7" xfId="1" applyFont="1" applyBorder="1" applyAlignment="1">
      <alignment horizontal="center" vertical="center"/>
    </xf>
    <xf numFmtId="0" fontId="6" fillId="0" borderId="7" xfId="1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0" borderId="12" xfId="0" applyFont="1" applyBorder="1"/>
    <xf numFmtId="0" fontId="3" fillId="0" borderId="0" xfId="0" applyFont="1"/>
    <xf numFmtId="164" fontId="0" fillId="0" borderId="2" xfId="0" applyNumberForma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10" fillId="2" borderId="12" xfId="0" applyFont="1" applyFill="1" applyBorder="1"/>
    <xf numFmtId="0" fontId="10" fillId="2" borderId="0" xfId="0" applyFont="1" applyFill="1"/>
    <xf numFmtId="0" fontId="9" fillId="0" borderId="12" xfId="0" applyFont="1" applyBorder="1" applyAlignment="1">
      <alignment horizontal="right"/>
    </xf>
    <xf numFmtId="0" fontId="9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2" fontId="8" fillId="0" borderId="15" xfId="0" applyNumberFormat="1" applyFont="1" applyBorder="1"/>
    <xf numFmtId="0" fontId="8" fillId="0" borderId="17" xfId="0" applyFont="1" applyBorder="1" applyAlignment="1">
      <alignment horizontal="right"/>
    </xf>
    <xf numFmtId="2" fontId="0" fillId="2" borderId="7" xfId="0" applyNumberFormat="1" applyFill="1" applyBorder="1"/>
    <xf numFmtId="2" fontId="7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2" fontId="7" fillId="0" borderId="6" xfId="0" applyNumberFormat="1" applyFont="1" applyBorder="1" applyAlignment="1">
      <alignment horizontal="center" vertical="center"/>
    </xf>
    <xf numFmtId="2" fontId="0" fillId="0" borderId="0" xfId="0" applyNumberFormat="1"/>
    <xf numFmtId="2" fontId="1" fillId="0" borderId="0" xfId="0" applyNumberFormat="1" applyFont="1"/>
    <xf numFmtId="0" fontId="1" fillId="0" borderId="0" xfId="0" applyFont="1"/>
    <xf numFmtId="0" fontId="6" fillId="0" borderId="19" xfId="1" applyFont="1" applyBorder="1" applyAlignment="1">
      <alignment horizontal="center" vertical="center"/>
    </xf>
    <xf numFmtId="0" fontId="1" fillId="0" borderId="7" xfId="0" applyFont="1" applyBorder="1"/>
    <xf numFmtId="0" fontId="0" fillId="0" borderId="7" xfId="0" applyBorder="1"/>
    <xf numFmtId="0" fontId="0" fillId="0" borderId="7" xfId="0" applyBorder="1" applyAlignment="1">
      <alignment vertical="center"/>
    </xf>
    <xf numFmtId="2" fontId="0" fillId="0" borderId="7" xfId="0" applyNumberFormat="1" applyBorder="1"/>
    <xf numFmtId="2" fontId="1" fillId="0" borderId="7" xfId="0" applyNumberFormat="1" applyFont="1" applyBorder="1"/>
    <xf numFmtId="0" fontId="0" fillId="0" borderId="0" xfId="0" applyAlignment="1">
      <alignment vertical="center"/>
    </xf>
    <xf numFmtId="0" fontId="11" fillId="0" borderId="7" xfId="0" applyFont="1" applyBorder="1" applyAlignment="1">
      <alignment vertical="center"/>
    </xf>
    <xf numFmtId="2" fontId="11" fillId="0" borderId="7" xfId="0" applyNumberFormat="1" applyFont="1" applyBorder="1"/>
    <xf numFmtId="0" fontId="11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14</xdr:row>
      <xdr:rowOff>0</xdr:rowOff>
    </xdr:from>
    <xdr:to>
      <xdr:col>6</xdr:col>
      <xdr:colOff>304800</xdr:colOff>
      <xdr:row>15</xdr:row>
      <xdr:rowOff>114300</xdr:rowOff>
    </xdr:to>
    <xdr:sp macro="" textlink="">
      <xdr:nvSpPr>
        <xdr:cNvPr id="2" name="AutoShape 2" descr="blob:https://web.whatsapp.com/e080aa93-45d0-431f-ad70-ade6f96c1ad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153400" y="27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304800</xdr:colOff>
      <xdr:row>7</xdr:row>
      <xdr:rowOff>114300</xdr:rowOff>
    </xdr:to>
    <xdr:sp macro="" textlink="">
      <xdr:nvSpPr>
        <xdr:cNvPr id="3" name="AutoShape 5" descr="blob:https://web.whatsapp.com/e080aa93-45d0-431f-ad70-ade6f96c1ad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8153400" y="12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P43"/>
  <sheetViews>
    <sheetView tabSelected="1" topLeftCell="A6" workbookViewId="0">
      <selection activeCell="E23" sqref="E23"/>
    </sheetView>
  </sheetViews>
  <sheetFormatPr defaultRowHeight="14.5" x14ac:dyDescent="0.35"/>
  <cols>
    <col min="1" max="1" width="6.7265625" bestFit="1" customWidth="1"/>
    <col min="2" max="2" width="46.54296875" customWidth="1"/>
    <col min="3" max="3" width="26" bestFit="1" customWidth="1"/>
    <col min="4" max="4" width="9.54296875" bestFit="1" customWidth="1"/>
    <col min="5" max="5" width="25.453125" customWidth="1"/>
    <col min="6" max="6" width="8.81640625" customWidth="1"/>
    <col min="7" max="7" width="9.7265625" customWidth="1"/>
    <col min="8" max="11" width="9.1796875" hidden="1" customWidth="1"/>
    <col min="12" max="12" width="36.453125" customWidth="1"/>
    <col min="15" max="15" width="35.453125" customWidth="1"/>
    <col min="16" max="16" width="14.7265625" customWidth="1"/>
  </cols>
  <sheetData>
    <row r="2" spans="1:16" ht="15.5" x14ac:dyDescent="0.35">
      <c r="A2" s="18"/>
      <c r="B2" s="19" t="s">
        <v>26</v>
      </c>
      <c r="C2" s="32">
        <v>110</v>
      </c>
      <c r="D2" s="19" t="s">
        <v>30</v>
      </c>
      <c r="E2" s="34" t="s">
        <v>31</v>
      </c>
      <c r="F2" s="39">
        <v>7.25</v>
      </c>
    </row>
    <row r="3" spans="1:16" ht="15.5" x14ac:dyDescent="0.35">
      <c r="A3" s="21"/>
      <c r="B3" t="s">
        <v>27</v>
      </c>
      <c r="C3" s="33">
        <v>33</v>
      </c>
      <c r="D3" t="s">
        <v>30</v>
      </c>
      <c r="E3" s="35" t="s">
        <v>32</v>
      </c>
      <c r="F3" s="39">
        <v>7.5</v>
      </c>
    </row>
    <row r="4" spans="1:16" x14ac:dyDescent="0.35">
      <c r="A4" s="21"/>
      <c r="B4" t="s">
        <v>28</v>
      </c>
      <c r="C4">
        <v>6.53</v>
      </c>
      <c r="E4" s="36" t="s">
        <v>33</v>
      </c>
      <c r="F4" s="37">
        <f>IF(F2=6.35,(((F2*11)+((F2+F2*20%)*6)+((F2-F2*5%)*7))/24),F2)</f>
        <v>7.25</v>
      </c>
    </row>
    <row r="5" spans="1:16" x14ac:dyDescent="0.35">
      <c r="A5" s="23"/>
      <c r="B5" s="24"/>
      <c r="C5" s="24" t="s">
        <v>29</v>
      </c>
      <c r="D5" s="24">
        <f>+C4</f>
        <v>6.53</v>
      </c>
      <c r="E5" s="38" t="s">
        <v>34</v>
      </c>
      <c r="F5" s="37">
        <f>IF(F3=6.75,(((F3*9)+((F3+F3*25%)*8)+((F3-F3*5%)*7))/24),F3)</f>
        <v>7.5</v>
      </c>
    </row>
    <row r="6" spans="1:16" ht="18.5" x14ac:dyDescent="0.45">
      <c r="A6" s="56" t="s">
        <v>20</v>
      </c>
      <c r="B6" s="57"/>
      <c r="C6" s="57"/>
      <c r="D6" s="57"/>
      <c r="E6" s="57"/>
      <c r="F6" s="58"/>
      <c r="H6" s="12" t="s">
        <v>22</v>
      </c>
      <c r="I6" s="13"/>
      <c r="J6" s="14"/>
      <c r="K6" s="14"/>
      <c r="L6" s="47" t="s">
        <v>50</v>
      </c>
      <c r="M6" s="48"/>
      <c r="O6" s="47" t="s">
        <v>51</v>
      </c>
      <c r="P6" s="48"/>
    </row>
    <row r="7" spans="1:16" x14ac:dyDescent="0.35">
      <c r="A7" s="7" t="s">
        <v>2</v>
      </c>
      <c r="B7" s="8" t="s">
        <v>3</v>
      </c>
      <c r="C7" s="59" t="s">
        <v>1</v>
      </c>
      <c r="D7" s="59"/>
      <c r="E7" s="59" t="s">
        <v>4</v>
      </c>
      <c r="F7" s="60"/>
      <c r="H7" s="15" t="s">
        <v>23</v>
      </c>
      <c r="I7" s="15" t="s">
        <v>24</v>
      </c>
      <c r="J7" s="16"/>
      <c r="K7" s="46" t="s">
        <v>25</v>
      </c>
      <c r="L7" s="49" t="s">
        <v>35</v>
      </c>
      <c r="M7" s="50">
        <v>2.4E-2</v>
      </c>
      <c r="O7" s="49" t="s">
        <v>35</v>
      </c>
      <c r="P7" s="50">
        <v>2.4E-2</v>
      </c>
    </row>
    <row r="8" spans="1:16" x14ac:dyDescent="0.35">
      <c r="A8" s="6">
        <v>1</v>
      </c>
      <c r="B8" s="5" t="s">
        <v>5</v>
      </c>
      <c r="C8" s="5" t="s">
        <v>10</v>
      </c>
      <c r="D8" s="1">
        <v>1500000</v>
      </c>
      <c r="E8" s="5" t="s">
        <v>10</v>
      </c>
      <c r="F8" s="2">
        <v>1500000</v>
      </c>
      <c r="H8" s="15">
        <v>11</v>
      </c>
      <c r="I8" s="15">
        <v>11</v>
      </c>
      <c r="J8" s="16" t="str">
        <f>H8&amp;I8</f>
        <v>1111</v>
      </c>
      <c r="K8" s="46">
        <v>7.8100000000000005</v>
      </c>
      <c r="L8" s="49" t="s">
        <v>8</v>
      </c>
      <c r="M8" s="50">
        <v>1.2E-2</v>
      </c>
      <c r="O8" s="49" t="s">
        <v>8</v>
      </c>
      <c r="P8" s="50">
        <v>1.2E-2</v>
      </c>
    </row>
    <row r="9" spans="1:16" x14ac:dyDescent="0.35">
      <c r="A9" s="6">
        <v>2</v>
      </c>
      <c r="B9" s="5" t="s">
        <v>6</v>
      </c>
      <c r="C9" s="5" t="s">
        <v>11</v>
      </c>
      <c r="D9" s="3">
        <v>7.25</v>
      </c>
      <c r="E9" s="5" t="s">
        <v>11</v>
      </c>
      <c r="F9" s="4">
        <f>+F5</f>
        <v>7.5</v>
      </c>
      <c r="H9" s="15">
        <v>11</v>
      </c>
      <c r="I9" s="15">
        <v>22</v>
      </c>
      <c r="J9" s="16" t="str">
        <f t="shared" ref="J9:J33" si="0">H9&amp;I9</f>
        <v>1122</v>
      </c>
      <c r="K9" s="46">
        <v>7.76</v>
      </c>
      <c r="L9" s="49" t="s">
        <v>9</v>
      </c>
      <c r="M9" s="50">
        <v>0.66700000000000004</v>
      </c>
      <c r="O9" s="49" t="s">
        <v>9</v>
      </c>
      <c r="P9" s="50">
        <v>0.66700000000000004</v>
      </c>
    </row>
    <row r="10" spans="1:16" x14ac:dyDescent="0.35">
      <c r="A10" s="6">
        <v>3</v>
      </c>
      <c r="B10" s="5" t="s">
        <v>35</v>
      </c>
      <c r="C10" s="5" t="s">
        <v>37</v>
      </c>
      <c r="D10" s="28">
        <f>((200/2)*365)/((D8-(D8*0%)))</f>
        <v>2.4333333333333332E-2</v>
      </c>
      <c r="E10" s="5" t="s">
        <v>57</v>
      </c>
      <c r="F10" s="30">
        <f>((209/2)*365)/((F8-(F8*0%)))</f>
        <v>2.5428333333333334E-2</v>
      </c>
      <c r="H10" s="15">
        <v>11</v>
      </c>
      <c r="I10" s="15">
        <v>33</v>
      </c>
      <c r="J10" s="16" t="str">
        <f t="shared" si="0"/>
        <v>1133</v>
      </c>
      <c r="K10" s="46">
        <v>6.58</v>
      </c>
      <c r="L10" s="49" t="s">
        <v>47</v>
      </c>
      <c r="M10" s="50">
        <v>0.52</v>
      </c>
      <c r="O10" s="49" t="s">
        <v>47</v>
      </c>
      <c r="P10" s="50">
        <v>0.52</v>
      </c>
    </row>
    <row r="11" spans="1:16" x14ac:dyDescent="0.35">
      <c r="A11" s="6">
        <v>4</v>
      </c>
      <c r="B11" s="5" t="s">
        <v>8</v>
      </c>
      <c r="C11" s="5" t="s">
        <v>39</v>
      </c>
      <c r="D11" s="28">
        <f>((92.46/2)*365)/((D8-(D8*D5%)))</f>
        <v>1.2035198459398735E-2</v>
      </c>
      <c r="E11" s="5" t="s">
        <v>58</v>
      </c>
      <c r="F11" s="30"/>
      <c r="H11" s="15">
        <v>11</v>
      </c>
      <c r="I11" s="15">
        <v>110</v>
      </c>
      <c r="J11" s="16" t="str">
        <f t="shared" si="0"/>
        <v>11110</v>
      </c>
      <c r="K11" s="46">
        <v>5.86</v>
      </c>
      <c r="L11" s="49" t="s">
        <v>45</v>
      </c>
      <c r="M11" s="50">
        <v>0.03</v>
      </c>
      <c r="O11" s="49" t="s">
        <v>45</v>
      </c>
      <c r="P11" s="50">
        <v>0.03</v>
      </c>
    </row>
    <row r="12" spans="1:16" x14ac:dyDescent="0.35">
      <c r="A12" s="6">
        <v>5</v>
      </c>
      <c r="B12" s="5" t="s">
        <v>9</v>
      </c>
      <c r="C12" s="5" t="s">
        <v>42</v>
      </c>
      <c r="D12" s="28">
        <f>((5580.26/2)*365)/((D8-(D8*D5%)))</f>
        <v>0.72636314682072689</v>
      </c>
      <c r="E12" s="5" t="s">
        <v>59</v>
      </c>
      <c r="F12" s="30">
        <f>((5803.47/2)*365)/((F8-(F8*D5%)))</f>
        <v>0.75541762062693918</v>
      </c>
      <c r="H12" s="15">
        <v>11</v>
      </c>
      <c r="I12" s="15">
        <v>230</v>
      </c>
      <c r="J12" s="16" t="str">
        <f t="shared" si="0"/>
        <v>11230</v>
      </c>
      <c r="K12" s="46">
        <v>4.29</v>
      </c>
      <c r="L12" s="49" t="s">
        <v>48</v>
      </c>
      <c r="M12" s="50">
        <v>1.34</v>
      </c>
      <c r="O12" s="49" t="s">
        <v>54</v>
      </c>
      <c r="P12" s="50">
        <v>1.74</v>
      </c>
    </row>
    <row r="13" spans="1:16" x14ac:dyDescent="0.35">
      <c r="A13" s="6">
        <v>6</v>
      </c>
      <c r="B13" s="5" t="s">
        <v>0</v>
      </c>
      <c r="C13" s="5" t="s">
        <v>44</v>
      </c>
      <c r="D13" s="28">
        <f xml:space="preserve"> 1.04/2/100</f>
        <v>5.1999999999999998E-3</v>
      </c>
      <c r="E13" s="5" t="s">
        <v>44</v>
      </c>
      <c r="F13" s="30">
        <f>1.04/2/100</f>
        <v>5.1999999999999998E-3</v>
      </c>
      <c r="H13" s="15">
        <v>22</v>
      </c>
      <c r="I13" s="15">
        <v>11</v>
      </c>
      <c r="J13" s="16" t="str">
        <f t="shared" si="0"/>
        <v>2211</v>
      </c>
      <c r="K13" s="46">
        <v>7.76</v>
      </c>
      <c r="L13" s="49" t="s">
        <v>49</v>
      </c>
      <c r="M13" s="50">
        <v>0.54</v>
      </c>
      <c r="O13" s="49" t="s">
        <v>49</v>
      </c>
      <c r="P13" s="50">
        <v>0.54</v>
      </c>
    </row>
    <row r="14" spans="1:16" x14ac:dyDescent="0.35">
      <c r="A14" s="6"/>
      <c r="B14" s="8" t="s">
        <v>13</v>
      </c>
      <c r="C14" s="8"/>
      <c r="D14" s="29">
        <f>SUM(D10:D13)</f>
        <v>0.7679316786134589</v>
      </c>
      <c r="E14" s="8"/>
      <c r="F14" s="31">
        <f>SUM(F10:F13)</f>
        <v>0.78604595396027255</v>
      </c>
      <c r="H14" s="15">
        <v>22</v>
      </c>
      <c r="I14" s="15">
        <v>22</v>
      </c>
      <c r="J14" s="16" t="str">
        <f t="shared" si="0"/>
        <v>2222</v>
      </c>
      <c r="K14" s="46">
        <v>7.71</v>
      </c>
      <c r="L14" s="48"/>
      <c r="M14" s="51">
        <f>SUM(M7:M13)</f>
        <v>3.133</v>
      </c>
      <c r="O14" s="48"/>
      <c r="P14" s="51">
        <f>SUM(P7:P13)</f>
        <v>3.5330000000000004</v>
      </c>
    </row>
    <row r="15" spans="1:16" x14ac:dyDescent="0.35">
      <c r="A15" s="6">
        <v>7</v>
      </c>
      <c r="B15" s="5" t="s">
        <v>12</v>
      </c>
      <c r="C15" s="5" t="str">
        <f>E2&amp;E3</f>
        <v>Existing TariffRevised Tariff</v>
      </c>
      <c r="D15" s="28">
        <f>((D8*D5%)*D9)/((D8-(D8*D5%)))</f>
        <v>0.50649941157590672</v>
      </c>
      <c r="E15" s="5"/>
      <c r="F15" s="30">
        <v>0.50600000000000001</v>
      </c>
      <c r="H15" s="15">
        <v>22</v>
      </c>
      <c r="I15" s="15">
        <v>33</v>
      </c>
      <c r="J15" s="16" t="str">
        <f t="shared" si="0"/>
        <v>2233</v>
      </c>
      <c r="K15" s="46">
        <v>6.53</v>
      </c>
      <c r="L15" s="49" t="s">
        <v>52</v>
      </c>
      <c r="M15" s="50">
        <v>7</v>
      </c>
      <c r="O15" s="49" t="s">
        <v>52</v>
      </c>
      <c r="P15" s="50">
        <v>8</v>
      </c>
    </row>
    <row r="16" spans="1:16" ht="15.5" x14ac:dyDescent="0.35">
      <c r="A16" s="6">
        <v>8</v>
      </c>
      <c r="B16" s="5" t="s">
        <v>45</v>
      </c>
      <c r="C16" s="5"/>
      <c r="D16" s="28"/>
      <c r="E16" s="5"/>
      <c r="F16" s="30">
        <v>0.03</v>
      </c>
      <c r="H16" s="15"/>
      <c r="I16" s="15"/>
      <c r="J16" s="16"/>
      <c r="K16" s="46"/>
      <c r="L16" s="53" t="s">
        <v>53</v>
      </c>
      <c r="M16" s="54">
        <f>M15-M14</f>
        <v>3.867</v>
      </c>
      <c r="O16" s="53" t="s">
        <v>53</v>
      </c>
      <c r="P16" s="54">
        <f>P15-P14</f>
        <v>4.4669999999999996</v>
      </c>
    </row>
    <row r="17" spans="1:16" ht="15.5" x14ac:dyDescent="0.35">
      <c r="A17" s="6"/>
      <c r="B17" s="8" t="s">
        <v>14</v>
      </c>
      <c r="C17" s="8"/>
      <c r="D17" s="29">
        <f>+D14+D15</f>
        <v>1.2744310901893656</v>
      </c>
      <c r="E17" s="8"/>
      <c r="F17" s="31">
        <f>+F14+F15+F16</f>
        <v>1.3220459539602725</v>
      </c>
      <c r="H17" s="16">
        <v>22</v>
      </c>
      <c r="I17" s="15">
        <v>110</v>
      </c>
      <c r="J17" s="16" t="str">
        <f t="shared" si="0"/>
        <v>22110</v>
      </c>
      <c r="K17" s="46">
        <v>5.8100000000000005</v>
      </c>
      <c r="L17" s="55"/>
      <c r="M17" s="55"/>
      <c r="O17" s="55"/>
      <c r="P17" s="55"/>
    </row>
    <row r="18" spans="1:16" x14ac:dyDescent="0.35">
      <c r="A18" s="6">
        <v>8</v>
      </c>
      <c r="B18" s="5" t="s">
        <v>15</v>
      </c>
      <c r="C18" s="5" t="s">
        <v>16</v>
      </c>
      <c r="D18" s="28">
        <f>((D8-(D8*D5%))*0.1)/((D8-(D8*D5%)))</f>
        <v>0.1</v>
      </c>
      <c r="E18" s="5"/>
      <c r="F18" s="30">
        <f>((F8-(F8*D5%))*0.1)/((F8-(F8*D5%)))</f>
        <v>0.1</v>
      </c>
      <c r="H18" s="16">
        <v>22</v>
      </c>
      <c r="I18" s="15">
        <v>230</v>
      </c>
      <c r="J18" s="16" t="str">
        <f t="shared" si="0"/>
        <v>22230</v>
      </c>
      <c r="K18" s="46">
        <v>4.24</v>
      </c>
      <c r="L18" s="48"/>
      <c r="M18" s="48"/>
      <c r="O18" s="48"/>
      <c r="P18" s="48"/>
    </row>
    <row r="19" spans="1:16" x14ac:dyDescent="0.35">
      <c r="A19" s="9"/>
      <c r="B19" s="10" t="s">
        <v>17</v>
      </c>
      <c r="C19" s="11"/>
      <c r="D19" s="40">
        <f>+D17+D18</f>
        <v>1.3744310901893657</v>
      </c>
      <c r="E19" s="41"/>
      <c r="F19" s="42">
        <f>+F17+F18</f>
        <v>1.4220459539602726</v>
      </c>
      <c r="H19" s="16">
        <v>33</v>
      </c>
      <c r="I19" s="15">
        <v>11</v>
      </c>
      <c r="J19" s="16" t="str">
        <f t="shared" si="0"/>
        <v>3311</v>
      </c>
      <c r="K19" s="16">
        <v>6.58</v>
      </c>
      <c r="L19" s="45"/>
    </row>
    <row r="20" spans="1:16" x14ac:dyDescent="0.35">
      <c r="E20" s="43"/>
      <c r="F20" s="43">
        <f>F19-D19</f>
        <v>4.7614863770906846E-2</v>
      </c>
      <c r="H20" s="16">
        <v>33</v>
      </c>
      <c r="I20" s="15">
        <v>22</v>
      </c>
      <c r="J20" s="16" t="str">
        <f t="shared" si="0"/>
        <v>3322</v>
      </c>
      <c r="K20" s="46">
        <v>6.53</v>
      </c>
      <c r="L20" s="52"/>
      <c r="M20" s="43"/>
    </row>
    <row r="21" spans="1:16" hidden="1" x14ac:dyDescent="0.35">
      <c r="H21" s="16">
        <v>33</v>
      </c>
      <c r="I21" s="15">
        <v>33</v>
      </c>
      <c r="J21" s="16" t="str">
        <f t="shared" si="0"/>
        <v>3333</v>
      </c>
      <c r="K21" s="46">
        <v>5.35</v>
      </c>
      <c r="L21" s="52"/>
      <c r="M21" s="43"/>
    </row>
    <row r="22" spans="1:16" x14ac:dyDescent="0.35">
      <c r="A22" s="18"/>
      <c r="B22" s="19" t="s">
        <v>26</v>
      </c>
      <c r="C22" s="19">
        <f>+C2</f>
        <v>110</v>
      </c>
      <c r="D22" s="19" t="s">
        <v>30</v>
      </c>
      <c r="E22" s="26" t="str">
        <f>C22&amp;D22</f>
        <v>110KV</v>
      </c>
      <c r="F22" s="20"/>
      <c r="H22" s="16">
        <v>33</v>
      </c>
      <c r="I22" s="15">
        <v>110</v>
      </c>
      <c r="J22" s="16" t="str">
        <f t="shared" si="0"/>
        <v>33110</v>
      </c>
      <c r="K22" s="46">
        <v>4.63</v>
      </c>
      <c r="L22" s="47" t="s">
        <v>55</v>
      </c>
      <c r="M22" s="48"/>
    </row>
    <row r="23" spans="1:16" x14ac:dyDescent="0.35">
      <c r="A23" s="21"/>
      <c r="B23" t="s">
        <v>27</v>
      </c>
      <c r="C23">
        <f>+C3</f>
        <v>33</v>
      </c>
      <c r="D23" t="s">
        <v>30</v>
      </c>
      <c r="E23" s="27" t="str">
        <f>C23&amp;D23</f>
        <v>33KV</v>
      </c>
      <c r="F23" s="22"/>
      <c r="H23" s="16">
        <v>33</v>
      </c>
      <c r="I23" s="15">
        <v>230</v>
      </c>
      <c r="J23" s="16" t="str">
        <f t="shared" si="0"/>
        <v>33230</v>
      </c>
      <c r="K23" s="46">
        <v>3.0599999999999996</v>
      </c>
      <c r="L23" s="49" t="s">
        <v>35</v>
      </c>
      <c r="M23" s="50">
        <v>2.4E-2</v>
      </c>
    </row>
    <row r="24" spans="1:16" x14ac:dyDescent="0.35">
      <c r="A24" s="21"/>
      <c r="B24" t="s">
        <v>28</v>
      </c>
      <c r="C24">
        <v>7.81</v>
      </c>
      <c r="F24" s="22"/>
      <c r="H24" s="16">
        <v>110</v>
      </c>
      <c r="I24" s="15">
        <v>11</v>
      </c>
      <c r="J24" s="16" t="str">
        <f t="shared" si="0"/>
        <v>11011</v>
      </c>
      <c r="K24" s="46">
        <v>5.86</v>
      </c>
      <c r="L24" s="49" t="s">
        <v>8</v>
      </c>
      <c r="M24" s="50">
        <v>1.2E-2</v>
      </c>
    </row>
    <row r="25" spans="1:16" hidden="1" x14ac:dyDescent="0.35">
      <c r="A25" s="21"/>
      <c r="F25" s="22"/>
      <c r="H25" s="16">
        <v>110</v>
      </c>
      <c r="I25" s="15">
        <v>22</v>
      </c>
      <c r="J25" s="16" t="str">
        <f t="shared" si="0"/>
        <v>11022</v>
      </c>
      <c r="K25" s="16">
        <v>5.8100000000000005</v>
      </c>
      <c r="L25" s="49" t="s">
        <v>9</v>
      </c>
      <c r="M25" s="50">
        <v>0.66700000000000004</v>
      </c>
    </row>
    <row r="26" spans="1:16" x14ac:dyDescent="0.35">
      <c r="A26" s="23"/>
      <c r="B26" s="24"/>
      <c r="C26" s="24" t="s">
        <v>29</v>
      </c>
      <c r="D26" s="24">
        <f>+C24</f>
        <v>7.81</v>
      </c>
      <c r="E26" s="24"/>
      <c r="F26" s="25"/>
      <c r="H26" s="16">
        <v>110</v>
      </c>
      <c r="I26" s="15">
        <v>33</v>
      </c>
      <c r="J26" s="16" t="str">
        <f t="shared" si="0"/>
        <v>11033</v>
      </c>
      <c r="K26" s="16">
        <v>4.63</v>
      </c>
      <c r="L26" s="49" t="s">
        <v>47</v>
      </c>
      <c r="M26" s="50">
        <v>0.52</v>
      </c>
    </row>
    <row r="27" spans="1:16" ht="18.5" x14ac:dyDescent="0.45">
      <c r="A27" s="56" t="s">
        <v>19</v>
      </c>
      <c r="B27" s="57"/>
      <c r="C27" s="57"/>
      <c r="D27" s="57"/>
      <c r="E27" s="57"/>
      <c r="F27" s="58"/>
      <c r="H27" s="16">
        <v>110</v>
      </c>
      <c r="I27" s="15">
        <v>110</v>
      </c>
      <c r="J27" s="16" t="str">
        <f t="shared" si="0"/>
        <v>110110</v>
      </c>
      <c r="K27" s="16">
        <v>3.91</v>
      </c>
      <c r="L27" s="49" t="s">
        <v>45</v>
      </c>
      <c r="M27" s="50">
        <v>0.03</v>
      </c>
    </row>
    <row r="28" spans="1:16" x14ac:dyDescent="0.35">
      <c r="A28" s="7" t="s">
        <v>2</v>
      </c>
      <c r="B28" s="8" t="s">
        <v>3</v>
      </c>
      <c r="C28" s="59" t="s">
        <v>1</v>
      </c>
      <c r="D28" s="59"/>
      <c r="E28" s="59" t="s">
        <v>4</v>
      </c>
      <c r="F28" s="60"/>
      <c r="H28" s="16">
        <v>110</v>
      </c>
      <c r="I28" s="15">
        <v>230</v>
      </c>
      <c r="J28" s="16" t="str">
        <f t="shared" si="0"/>
        <v>110230</v>
      </c>
      <c r="K28" s="17">
        <v>2.34</v>
      </c>
      <c r="L28" s="49" t="s">
        <v>56</v>
      </c>
      <c r="M28" s="50">
        <v>0.1</v>
      </c>
    </row>
    <row r="29" spans="1:16" x14ac:dyDescent="0.35">
      <c r="A29" s="6">
        <v>1</v>
      </c>
      <c r="B29" s="5" t="s">
        <v>5</v>
      </c>
      <c r="C29" s="5" t="s">
        <v>21</v>
      </c>
      <c r="D29" s="1">
        <v>2000000</v>
      </c>
      <c r="E29" s="5" t="s">
        <v>21</v>
      </c>
      <c r="F29" s="2">
        <v>2000000</v>
      </c>
      <c r="H29" s="16">
        <v>230</v>
      </c>
      <c r="I29" s="15">
        <v>11</v>
      </c>
      <c r="J29" s="16" t="str">
        <f t="shared" si="0"/>
        <v>23011</v>
      </c>
      <c r="K29" s="17">
        <v>4.29</v>
      </c>
      <c r="L29" s="48"/>
      <c r="M29" s="51">
        <f>SUM(M23:M28)</f>
        <v>1.3530000000000002</v>
      </c>
    </row>
    <row r="30" spans="1:16" x14ac:dyDescent="0.35">
      <c r="A30" s="6">
        <v>2</v>
      </c>
      <c r="B30" s="5" t="s">
        <v>6</v>
      </c>
      <c r="C30" s="5" t="s">
        <v>11</v>
      </c>
      <c r="D30" s="3">
        <f>+F4</f>
        <v>7.25</v>
      </c>
      <c r="E30" s="5" t="s">
        <v>11</v>
      </c>
      <c r="F30" s="4">
        <f>+F5</f>
        <v>7.5</v>
      </c>
      <c r="H30" s="16">
        <v>230</v>
      </c>
      <c r="I30" s="15">
        <v>22</v>
      </c>
      <c r="J30" s="16" t="str">
        <f t="shared" si="0"/>
        <v>23022</v>
      </c>
      <c r="K30" s="17">
        <v>4.24</v>
      </c>
      <c r="L30" s="49" t="s">
        <v>52</v>
      </c>
      <c r="M30" s="50">
        <v>6.7</v>
      </c>
    </row>
    <row r="31" spans="1:16" ht="15.5" x14ac:dyDescent="0.35">
      <c r="A31" s="6">
        <v>3</v>
      </c>
      <c r="B31" s="5" t="s">
        <v>7</v>
      </c>
      <c r="C31" s="5" t="s">
        <v>36</v>
      </c>
      <c r="D31" s="28">
        <f>((172/2)*365)/((D29-(D29*0%)))</f>
        <v>1.5695000000000001E-2</v>
      </c>
      <c r="E31" s="5" t="s">
        <v>37</v>
      </c>
      <c r="F31" s="30">
        <f>((200/2)*365)/((F29-(F29*D26%)))</f>
        <v>1.9796073326825037E-2</v>
      </c>
      <c r="H31" s="16">
        <v>230</v>
      </c>
      <c r="I31" s="15">
        <v>33</v>
      </c>
      <c r="J31" s="16" t="str">
        <f t="shared" si="0"/>
        <v>23033</v>
      </c>
      <c r="K31" s="17">
        <v>3.0599999999999996</v>
      </c>
      <c r="L31" s="53" t="s">
        <v>53</v>
      </c>
      <c r="M31" s="54">
        <f>M30-M29</f>
        <v>5.3469999999999995</v>
      </c>
    </row>
    <row r="32" spans="1:16" x14ac:dyDescent="0.35">
      <c r="A32" s="6">
        <v>4</v>
      </c>
      <c r="B32" s="5" t="s">
        <v>8</v>
      </c>
      <c r="C32" s="5" t="s">
        <v>38</v>
      </c>
      <c r="D32" s="28">
        <f>((75.04/2)*365)/((D29-(D29*D26%)))</f>
        <v>7.4274867122247536E-3</v>
      </c>
      <c r="E32" s="5" t="s">
        <v>39</v>
      </c>
      <c r="F32" s="30">
        <f>((92.46/2)*365)/((F29-(F29*D26%)))</f>
        <v>9.1517246989912121E-3</v>
      </c>
      <c r="H32" s="16">
        <v>230</v>
      </c>
      <c r="I32" s="15">
        <v>110</v>
      </c>
      <c r="J32" s="16" t="str">
        <f t="shared" si="0"/>
        <v>230110</v>
      </c>
      <c r="K32" s="17">
        <v>2.34</v>
      </c>
      <c r="L32" s="48"/>
      <c r="M32" s="48"/>
    </row>
    <row r="33" spans="1:13" ht="15.5" x14ac:dyDescent="0.35">
      <c r="A33" s="6">
        <v>5</v>
      </c>
      <c r="B33" s="5" t="s">
        <v>18</v>
      </c>
      <c r="C33" s="5" t="s">
        <v>40</v>
      </c>
      <c r="D33" s="28">
        <f>(301704)/((D29-(D29*0%)))</f>
        <v>0.15085200000000001</v>
      </c>
      <c r="E33" s="5" t="s">
        <v>40</v>
      </c>
      <c r="F33" s="30">
        <f>(301704)/((F29-(F29*D26%)))</f>
        <v>0.16363163032866906</v>
      </c>
      <c r="H33" s="16">
        <v>230</v>
      </c>
      <c r="I33" s="15">
        <v>230</v>
      </c>
      <c r="J33" s="16" t="str">
        <f t="shared" si="0"/>
        <v>230230</v>
      </c>
      <c r="K33" s="17">
        <v>0.77</v>
      </c>
      <c r="L33" s="55"/>
      <c r="M33" s="55"/>
    </row>
    <row r="34" spans="1:13" x14ac:dyDescent="0.35">
      <c r="A34" s="6">
        <v>6</v>
      </c>
      <c r="B34" s="5" t="s">
        <v>9</v>
      </c>
      <c r="C34" s="5" t="s">
        <v>41</v>
      </c>
      <c r="D34" s="28">
        <f>((5365.63/2)*365)/((D29-(D29*D26%)))</f>
        <v>0.53109202462306104</v>
      </c>
      <c r="E34" s="5" t="s">
        <v>42</v>
      </c>
      <c r="F34" s="30">
        <f>((5580.26/2)*365)/((F29-(F29*D26%)))</f>
        <v>0.55233618071374335</v>
      </c>
      <c r="H34" s="16">
        <v>230</v>
      </c>
      <c r="I34" s="15">
        <v>230</v>
      </c>
      <c r="J34" s="16" t="str">
        <f>H34&amp;I34</f>
        <v>230230</v>
      </c>
      <c r="K34" s="17">
        <v>0.77</v>
      </c>
      <c r="L34" s="48"/>
      <c r="M34" s="48"/>
    </row>
    <row r="35" spans="1:13" x14ac:dyDescent="0.35">
      <c r="A35" s="6">
        <v>7</v>
      </c>
      <c r="B35" s="5" t="s">
        <v>0</v>
      </c>
      <c r="C35" s="5" t="s">
        <v>43</v>
      </c>
      <c r="D35" s="28">
        <f>1/2/100</f>
        <v>5.0000000000000001E-3</v>
      </c>
      <c r="E35" s="5" t="s">
        <v>44</v>
      </c>
      <c r="F35" s="30">
        <f>1.04/2/100</f>
        <v>5.1999999999999998E-3</v>
      </c>
    </row>
    <row r="36" spans="1:13" x14ac:dyDescent="0.35">
      <c r="A36" s="6"/>
      <c r="B36" s="8" t="s">
        <v>13</v>
      </c>
      <c r="C36" s="8"/>
      <c r="D36" s="29">
        <f>SUM(D31:D35)</f>
        <v>0.71006651133528587</v>
      </c>
      <c r="E36" s="8"/>
      <c r="F36" s="31">
        <f>SUM(F31:F35)</f>
        <v>0.75011560906822872</v>
      </c>
    </row>
    <row r="37" spans="1:13" x14ac:dyDescent="0.35">
      <c r="A37" s="6">
        <v>8</v>
      </c>
      <c r="B37" s="5" t="s">
        <v>12</v>
      </c>
      <c r="C37" s="5" t="str">
        <f>E22&amp;E23</f>
        <v>110KV33KV</v>
      </c>
      <c r="D37" s="28">
        <f>((D29*D26%)*D30)/((D29-(D29*D26%)))</f>
        <v>0.61419351339624684</v>
      </c>
      <c r="E37" s="5"/>
      <c r="F37" s="30">
        <f>((F29*D26%)*F30)/((F29-(F29*D26%)))</f>
        <v>0.635372600065083</v>
      </c>
    </row>
    <row r="38" spans="1:13" x14ac:dyDescent="0.35">
      <c r="A38" s="6">
        <v>9</v>
      </c>
      <c r="B38" s="5" t="s">
        <v>45</v>
      </c>
      <c r="E38" s="5" t="s">
        <v>46</v>
      </c>
      <c r="F38" s="30">
        <v>0.03</v>
      </c>
    </row>
    <row r="39" spans="1:13" x14ac:dyDescent="0.35">
      <c r="A39" s="6"/>
      <c r="B39" s="8" t="s">
        <v>14</v>
      </c>
      <c r="C39" s="8"/>
      <c r="D39" s="29">
        <f>+D36+D37</f>
        <v>1.3242600247315326</v>
      </c>
      <c r="E39" s="8"/>
      <c r="F39" s="31">
        <f>+F36+F37+F38</f>
        <v>1.4154882091333116</v>
      </c>
    </row>
    <row r="40" spans="1:13" x14ac:dyDescent="0.35">
      <c r="A40" s="6">
        <v>10</v>
      </c>
      <c r="B40" s="5" t="s">
        <v>15</v>
      </c>
      <c r="C40" s="5" t="s">
        <v>16</v>
      </c>
      <c r="D40" s="28">
        <f>((D29-(D29*D26%))*0.1)/((D29-(D29*D26%)))</f>
        <v>0.1</v>
      </c>
      <c r="E40" s="5"/>
      <c r="F40" s="30">
        <f>((F29-(F29*D26%))*0.1)/((F29-(F29*D26%)))</f>
        <v>0.1</v>
      </c>
    </row>
    <row r="41" spans="1:13" x14ac:dyDescent="0.35">
      <c r="A41" s="9"/>
      <c r="B41" s="10" t="s">
        <v>17</v>
      </c>
      <c r="C41" s="11"/>
      <c r="D41" s="40">
        <f>+D39+D40</f>
        <v>1.4242600247315327</v>
      </c>
      <c r="E41" s="41"/>
      <c r="F41" s="42">
        <f>+F39+F40</f>
        <v>1.5154882091333117</v>
      </c>
      <c r="L41" s="44"/>
    </row>
    <row r="43" spans="1:13" x14ac:dyDescent="0.35">
      <c r="G43" s="43"/>
    </row>
  </sheetData>
  <mergeCells count="6">
    <mergeCell ref="A6:F6"/>
    <mergeCell ref="C7:D7"/>
    <mergeCell ref="E7:F7"/>
    <mergeCell ref="A27:F27"/>
    <mergeCell ref="C28:D28"/>
    <mergeCell ref="E28:F28"/>
  </mergeCells>
  <pageMargins left="0.96" right="0.70866141732283472" top="0.31" bottom="0.28000000000000003" header="0.24" footer="0.2"/>
  <pageSetup paperSize="9" scale="8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OA charges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2026-02-23T10:59:08Z</dcterms:modified>
</cp:coreProperties>
</file>